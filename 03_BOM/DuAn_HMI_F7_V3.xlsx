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B209B3\SpaceLiinTech_Eletroporator\DuAn_HighVoltage_HMI_F7\03_BOM\"/>
    </mc:Choice>
  </mc:AlternateContent>
  <bookViews>
    <workbookView xWindow="0" yWindow="0" windowWidth="17783" windowHeight="8235"/>
  </bookViews>
  <sheets>
    <sheet name="DuAn_HMI_F7_V3" sheetId="1" r:id="rId1"/>
  </sheets>
  <definedNames>
    <definedName name="_xlnm.Print_Titles" localSheetId="0">DuAn_HMI_F7_V3!$2:$2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1" l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4" i="1"/>
</calcChain>
</file>

<file path=xl/sharedStrings.xml><?xml version="1.0" encoding="utf-8"?>
<sst xmlns="http://schemas.openxmlformats.org/spreadsheetml/2006/main" count="205" uniqueCount="171">
  <si>
    <t>Line #</t>
  </si>
  <si>
    <t>Name</t>
  </si>
  <si>
    <t>Description</t>
  </si>
  <si>
    <t>Designator</t>
  </si>
  <si>
    <t>Footprint</t>
  </si>
  <si>
    <t>Manufacturer</t>
  </si>
  <si>
    <t>Quantity</t>
  </si>
  <si>
    <t/>
  </si>
  <si>
    <t>TFT Con</t>
  </si>
  <si>
    <t>PIN 3V</t>
  </si>
  <si>
    <t>Battery 3VDC</t>
  </si>
  <si>
    <t>BT1</t>
  </si>
  <si>
    <t>BAT_3035</t>
  </si>
  <si>
    <t>100nF/25V</t>
  </si>
  <si>
    <t>CAP CER 0.1UF 25V X7R 0603</t>
  </si>
  <si>
    <t>C10, C11, C12, C13, C14, C16, C17, C18, C19, C20, C21, C22, C23, C24, C25, C26, C27, C30, C33, C34, C35, C36, C37, C40, C42, C43, C47</t>
  </si>
  <si>
    <t>CN-SMD-0603</t>
  </si>
  <si>
    <t>CL10B104KA8NNNC</t>
  </si>
  <si>
    <t>10uF/25V</t>
  </si>
  <si>
    <t>CAP CER 10UF 25V X5R 0603</t>
  </si>
  <si>
    <t>C15, C38, C39, C41, C44, C46</t>
  </si>
  <si>
    <t>CL10A106MA8NRNC</t>
  </si>
  <si>
    <t>2.2uF/10V</t>
  </si>
  <si>
    <t>CAP CER 2.2UF 10V X7R 0603</t>
  </si>
  <si>
    <t>C28, C29</t>
  </si>
  <si>
    <t>CL10B225KP8NNNC</t>
  </si>
  <si>
    <t>12pF/DNP</t>
  </si>
  <si>
    <t>CAP CER 12PF 50V C0G/NP0 0603</t>
  </si>
  <si>
    <t>C31, C32</t>
  </si>
  <si>
    <t>CL10C120JB81PNC</t>
  </si>
  <si>
    <t>10nF</t>
  </si>
  <si>
    <t>CAP CER 10000PF 50V X7R 0603</t>
  </si>
  <si>
    <t>C45, C48</t>
  </si>
  <si>
    <t>CL10B103KB8NNNC</t>
  </si>
  <si>
    <t>1nF</t>
  </si>
  <si>
    <t>CAP CER 0603 1NF 10V ULTRA STABL</t>
  </si>
  <si>
    <t>C49</t>
  </si>
  <si>
    <t>C0603C102J8HACAUTO</t>
  </si>
  <si>
    <t>10pF</t>
  </si>
  <si>
    <t>CAP CER 10PF 50V C0G/NP0 0603</t>
  </si>
  <si>
    <t>C50</t>
  </si>
  <si>
    <t>C0603C100J5GACTU</t>
  </si>
  <si>
    <t>SK34A</t>
  </si>
  <si>
    <t>DIODE SCHOTTKY 40V 3A DO214AC</t>
  </si>
  <si>
    <t>D2</t>
  </si>
  <si>
    <t>DIO-SMD-A</t>
  </si>
  <si>
    <t>Display</t>
  </si>
  <si>
    <t>Header4</t>
  </si>
  <si>
    <t>Connector 4</t>
  </si>
  <si>
    <t>J1</t>
  </si>
  <si>
    <t>XH2.54-4-SMD</t>
  </si>
  <si>
    <t>Header5</t>
  </si>
  <si>
    <t>Connector 5</t>
  </si>
  <si>
    <t>J2</t>
  </si>
  <si>
    <t>XH2.54-5-SMD</t>
  </si>
  <si>
    <t>J3</t>
  </si>
  <si>
    <t>USB-C4</t>
  </si>
  <si>
    <t>4.7uH</t>
  </si>
  <si>
    <t>FIXED IND 4.7UH 3A 70 MOHM SMD</t>
  </si>
  <si>
    <t>L2</t>
  </si>
  <si>
    <t>IND_AMDLA4020S-2R2MT</t>
  </si>
  <si>
    <t>AMDLA4020S-4R7MT</t>
  </si>
  <si>
    <t>LED</t>
  </si>
  <si>
    <t>LED RED CLEAR 0603 SMD</t>
  </si>
  <si>
    <t>LED1, LED2, LED3</t>
  </si>
  <si>
    <t>LED-0603-RED</t>
  </si>
  <si>
    <t>150060RS75000</t>
  </si>
  <si>
    <t>1k/1%</t>
  </si>
  <si>
    <t>RES SMD 1K OHM 1% 1/10W 0603</t>
  </si>
  <si>
    <t>R8, R9</t>
  </si>
  <si>
    <t>RES-SMD-0603</t>
  </si>
  <si>
    <t>ERJ-3EKF1001V</t>
  </si>
  <si>
    <t>10k/1%</t>
  </si>
  <si>
    <t>RES SMD 10K OHM 1% 1/10W 0603</t>
  </si>
  <si>
    <t>R10</t>
  </si>
  <si>
    <t>ERJ-3EKF1002V</t>
  </si>
  <si>
    <t>22R/1%</t>
  </si>
  <si>
    <t>RES SMD 22 OHM 1% 1/10W 0603</t>
  </si>
  <si>
    <t>R11, R12, R13, R14, R15, R16, R17</t>
  </si>
  <si>
    <t>ERJ-3EKF22R0V</t>
  </si>
  <si>
    <t>4K7</t>
  </si>
  <si>
    <t>RES SMD 4.7K OHM 1% 1/10W 0603</t>
  </si>
  <si>
    <t>R18, R19, R20</t>
  </si>
  <si>
    <t>ERJ-3EKF4701V</t>
  </si>
  <si>
    <t>150K</t>
  </si>
  <si>
    <t>RES 150K OHM 1% 1/10W 0603</t>
  </si>
  <si>
    <t>R21</t>
  </si>
  <si>
    <t>RMCF0603FT150K</t>
  </si>
  <si>
    <t>10.2k</t>
  </si>
  <si>
    <t>RES 10.2K OHM 1% 1/10W 0603</t>
  </si>
  <si>
    <t>R22</t>
  </si>
  <si>
    <t>RC0603FR-0710K2L</t>
  </si>
  <si>
    <t>3.24k</t>
  </si>
  <si>
    <t>RES 3.24K OHM 1% 1/10W 0603</t>
  </si>
  <si>
    <t>R23</t>
  </si>
  <si>
    <t>RMCF0603FT3K24</t>
  </si>
  <si>
    <t>100K</t>
  </si>
  <si>
    <t>RES 100K OHM 1% 1/10W 0603</t>
  </si>
  <si>
    <t>R24</t>
  </si>
  <si>
    <t>RC0603FR-07100KL</t>
  </si>
  <si>
    <t>20.5K</t>
  </si>
  <si>
    <t>RES 20.5K OHM 1% 1/10W 0603</t>
  </si>
  <si>
    <t>R25</t>
  </si>
  <si>
    <t>RC0603FR-0720K5L</t>
  </si>
  <si>
    <t>SD_Holder</t>
  </si>
  <si>
    <t>SD1</t>
  </si>
  <si>
    <t>SD Socket</t>
  </si>
  <si>
    <t>SW</t>
  </si>
  <si>
    <t>Switch button 2 pin</t>
  </si>
  <si>
    <t>SW1</t>
  </si>
  <si>
    <t>SW1-SMD</t>
  </si>
  <si>
    <t>USBLC6-2SC6</t>
  </si>
  <si>
    <t>TVS DIODE 5.25VWM 17VC SOT23-6</t>
  </si>
  <si>
    <t>TVS1</t>
  </si>
  <si>
    <t>SOT23-6</t>
  </si>
  <si>
    <t>IS42S16400N-6TLI</t>
  </si>
  <si>
    <t>1 Meg Bits x 16 Bits x 4 Banks (64-MBIT) SYNCHRONOUS DYNAMIC RAM</t>
  </si>
  <si>
    <t>U2</t>
  </si>
  <si>
    <t>TSOP80P1180X100-54N</t>
  </si>
  <si>
    <t>STM32F767ZIT6</t>
  </si>
  <si>
    <t>High-performance MCU based on Cortex-M7 core with DSP and double-precision FPU, up to 216 MHz CPU, up to 2 MB Flash, ART Accelerator and L1 cache for zero-wait execution.</t>
  </si>
  <si>
    <t>U3</t>
  </si>
  <si>
    <t>LQFP144</t>
  </si>
  <si>
    <t>MAX232DR</t>
  </si>
  <si>
    <t>IC TRANSCEIVER FULL 2/2 16SOIC</t>
  </si>
  <si>
    <t>U4</t>
  </si>
  <si>
    <t>SO16</t>
  </si>
  <si>
    <t>LM1117-3.3V/DNP</t>
  </si>
  <si>
    <t>IC REG LIN 3.3V 800MA SOT-223-4</t>
  </si>
  <si>
    <t>U5</t>
  </si>
  <si>
    <t>SOT223</t>
  </si>
  <si>
    <t>TLV1117-33IDCYR</t>
  </si>
  <si>
    <t>TPS54231</t>
  </si>
  <si>
    <t>TPS54231 2-A, 28-V Input, Step-Down DC-DC Converter With Eco-mode</t>
  </si>
  <si>
    <t>U6</t>
  </si>
  <si>
    <t>HSOP8</t>
  </si>
  <si>
    <t>TPS54231DR</t>
  </si>
  <si>
    <t>XTAL 25MHz</t>
  </si>
  <si>
    <t>CRYSTAL 25.0000MHZ 18PF SMD</t>
  </si>
  <si>
    <t>X1</t>
  </si>
  <si>
    <t>XT4-16.000MHz-4_V</t>
  </si>
  <si>
    <t>TSX-3225 25.0000MF10P-C0</t>
  </si>
  <si>
    <t>CONN FFC BOTTOM 40POS 0.5MM R/A</t>
  </si>
  <si>
    <t>Molex</t>
  </si>
  <si>
    <t>FFC BOTTOM 40POS 0.5MM</t>
  </si>
  <si>
    <t>Samsung Electro-Mechanics</t>
  </si>
  <si>
    <t>KEMET</t>
  </si>
  <si>
    <t>SMC Diode Solutions</t>
  </si>
  <si>
    <t>CONN RCPT USB 2.0 TYPEA 4POS SMD</t>
  </si>
  <si>
    <t>Same Sky (Formerly CUI Devices)</t>
  </si>
  <si>
    <t>UJ2-AH-1-SMT-TR</t>
  </si>
  <si>
    <t>USBA_4P</t>
  </si>
  <si>
    <t>Abracon LLC</t>
  </si>
  <si>
    <t>Würth Elektronik</t>
  </si>
  <si>
    <t>Panasonic Electronic Components</t>
  </si>
  <si>
    <t>Stackpole Electronics Inc</t>
  </si>
  <si>
    <t>YAGEO</t>
  </si>
  <si>
    <t>ISSI, Integrated Silicon Solution Inc</t>
  </si>
  <si>
    <t>STMicroelectronics</t>
  </si>
  <si>
    <t>Texas Instruments</t>
  </si>
  <si>
    <t>EPSON</t>
  </si>
  <si>
    <t>HV_Elec_HMI_V3_HW</t>
  </si>
  <si>
    <t>Part Num</t>
  </si>
  <si>
    <t>QtyTotal</t>
  </si>
  <si>
    <t>Note</t>
  </si>
  <si>
    <t>DNP</t>
  </si>
  <si>
    <t>0541324062</t>
  </si>
  <si>
    <t>7inch Capacitive Touch LCD (F) 1024x600</t>
  </si>
  <si>
    <t>Waveshare</t>
  </si>
  <si>
    <t>7inch Capacitive Touch LCD (F), 7 inch 1024*600 Multicolor Graphic LCD, with capacitive touch screen and stand-alone touch controller</t>
  </si>
  <si>
    <t>Module TFT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</si>
</sst>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 "/>
    </font>
    <font>
      <u/>
      <sz val="11"/>
      <color theme="10"/>
      <name val="Calibri "/>
    </font>
    <font>
      <sz val="11"/>
      <color rgb="FF18181A"/>
      <name val="Calibri "/>
    </font>
  </fonts>
  <fills count="7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applyBorder="1" applyAlignment="1">
      <alignment vertical="center"/>
    </xf>
    <xf numFmtId="0" fontId="0" fillId="4" borderId="1" xfId="0" quotePrefix="1" applyFill="1" applyBorder="1"/>
    <xf numFmtId="0" fontId="3" fillId="0" borderId="0" xfId="0" applyFont="1"/>
    <xf numFmtId="0" fontId="0" fillId="4" borderId="1" xfId="0" applyFill="1" applyBorder="1"/>
    <xf numFmtId="0" fontId="0" fillId="4" borderId="0" xfId="0" applyFill="1"/>
    <xf numFmtId="0" fontId="1" fillId="2" borderId="1" xfId="0" applyFont="1" applyFill="1" applyBorder="1"/>
    <xf numFmtId="0" fontId="1" fillId="2" borderId="0" xfId="0" applyFont="1" applyFill="1"/>
    <xf numFmtId="0" fontId="6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0" borderId="1" xfId="1" applyFont="1" applyBorder="1" applyAlignment="1">
      <alignment vertical="center" wrapText="1"/>
    </xf>
    <xf numFmtId="0" fontId="0" fillId="3" borderId="1" xfId="0" quotePrefix="1" applyFill="1" applyBorder="1"/>
    <xf numFmtId="0" fontId="0" fillId="3" borderId="0" xfId="0" applyFill="1"/>
    <xf numFmtId="0" fontId="1" fillId="5" borderId="1" xfId="0" applyFont="1" applyFill="1" applyBorder="1"/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6" borderId="1" xfId="0" quotePrefix="1" applyFill="1" applyBorder="1"/>
    <xf numFmtId="0" fontId="0" fillId="6" borderId="1" xfId="0" applyFill="1" applyBorder="1" applyAlignment="1">
      <alignment vertical="center"/>
    </xf>
    <xf numFmtId="0" fontId="0" fillId="6" borderId="1" xfId="0" applyFill="1" applyBorder="1"/>
    <xf numFmtId="0" fontId="0" fillId="6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waveshare.com/7inch-Capacitive-Touch-LCD-F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tabSelected="1" workbookViewId="0">
      <selection activeCell="H38" sqref="H38"/>
    </sheetView>
  </sheetViews>
  <sheetFormatPr defaultRowHeight="14.25"/>
  <cols>
    <col min="1" max="1" width="8.6640625" style="15" customWidth="1"/>
    <col min="2" max="2" width="18.53125" customWidth="1"/>
    <col min="3" max="3" width="32.796875" customWidth="1"/>
    <col min="4" max="5" width="18.53125" customWidth="1"/>
    <col min="6" max="6" width="30.59765625" customWidth="1"/>
    <col min="7" max="7" width="34.06640625" customWidth="1"/>
    <col min="8" max="8" width="10.59765625" customWidth="1"/>
    <col min="10" max="10" width="11.06640625" customWidth="1"/>
  </cols>
  <sheetData>
    <row r="1" spans="1:10">
      <c r="A1" s="17" t="s">
        <v>161</v>
      </c>
      <c r="B1" s="18"/>
      <c r="C1" s="18"/>
      <c r="D1" s="18"/>
    </row>
    <row r="2" spans="1:10" s="9" customFormat="1">
      <c r="A2" s="16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162</v>
      </c>
      <c r="H2" s="8" t="s">
        <v>6</v>
      </c>
      <c r="I2" s="8" t="s">
        <v>163</v>
      </c>
      <c r="J2" s="8" t="s">
        <v>164</v>
      </c>
    </row>
    <row r="3" spans="1:10" s="7" customFormat="1">
      <c r="A3" s="14">
        <v>1</v>
      </c>
      <c r="B3" s="4" t="s">
        <v>8</v>
      </c>
      <c r="C3" s="4" t="s">
        <v>142</v>
      </c>
      <c r="D3" s="4" t="s">
        <v>46</v>
      </c>
      <c r="E3" s="6" t="s">
        <v>144</v>
      </c>
      <c r="F3" s="6" t="s">
        <v>143</v>
      </c>
      <c r="G3" s="4" t="s">
        <v>166</v>
      </c>
      <c r="H3" s="6">
        <v>1</v>
      </c>
      <c r="I3" s="6"/>
      <c r="J3" s="6"/>
    </row>
    <row r="4" spans="1:10" s="7" customFormat="1">
      <c r="A4" s="14">
        <f>A3+1</f>
        <v>2</v>
      </c>
      <c r="B4" s="4" t="s">
        <v>9</v>
      </c>
      <c r="C4" s="4" t="s">
        <v>10</v>
      </c>
      <c r="D4" s="4" t="s">
        <v>11</v>
      </c>
      <c r="E4" s="4" t="s">
        <v>12</v>
      </c>
      <c r="F4" s="6"/>
      <c r="G4" s="6"/>
      <c r="H4" s="6">
        <v>1</v>
      </c>
      <c r="I4" s="6"/>
      <c r="J4" s="6"/>
    </row>
    <row r="5" spans="1:10">
      <c r="A5" s="14">
        <f t="shared" ref="A5:A36" si="0">A4+1</f>
        <v>3</v>
      </c>
      <c r="B5" s="2" t="s">
        <v>13</v>
      </c>
      <c r="C5" s="2" t="s">
        <v>14</v>
      </c>
      <c r="D5" s="2" t="s">
        <v>15</v>
      </c>
      <c r="E5" s="2" t="s">
        <v>16</v>
      </c>
      <c r="F5" s="3" t="s">
        <v>145</v>
      </c>
      <c r="G5" s="2" t="s">
        <v>17</v>
      </c>
      <c r="H5" s="1">
        <v>27</v>
      </c>
      <c r="I5" s="1"/>
      <c r="J5" s="1"/>
    </row>
    <row r="6" spans="1:10">
      <c r="A6" s="14">
        <f t="shared" si="0"/>
        <v>4</v>
      </c>
      <c r="B6" s="2" t="s">
        <v>18</v>
      </c>
      <c r="C6" s="2" t="s">
        <v>19</v>
      </c>
      <c r="D6" s="2" t="s">
        <v>20</v>
      </c>
      <c r="E6" s="2" t="s">
        <v>16</v>
      </c>
      <c r="F6" s="3" t="s">
        <v>145</v>
      </c>
      <c r="G6" s="2" t="s">
        <v>21</v>
      </c>
      <c r="H6" s="1">
        <v>6</v>
      </c>
      <c r="I6" s="1"/>
      <c r="J6" s="1"/>
    </row>
    <row r="7" spans="1:10">
      <c r="A7" s="14">
        <f t="shared" si="0"/>
        <v>5</v>
      </c>
      <c r="B7" s="2" t="s">
        <v>22</v>
      </c>
      <c r="C7" s="2" t="s">
        <v>23</v>
      </c>
      <c r="D7" s="2" t="s">
        <v>24</v>
      </c>
      <c r="E7" s="2" t="s">
        <v>16</v>
      </c>
      <c r="F7" s="3" t="s">
        <v>145</v>
      </c>
      <c r="G7" s="2" t="s">
        <v>25</v>
      </c>
      <c r="H7" s="1">
        <v>2</v>
      </c>
      <c r="I7" s="1"/>
      <c r="J7" s="1"/>
    </row>
    <row r="8" spans="1:10" s="22" customFormat="1">
      <c r="A8" s="19">
        <f t="shared" si="0"/>
        <v>6</v>
      </c>
      <c r="B8" s="19" t="s">
        <v>26</v>
      </c>
      <c r="C8" s="19" t="s">
        <v>27</v>
      </c>
      <c r="D8" s="19" t="s">
        <v>28</v>
      </c>
      <c r="E8" s="19" t="s">
        <v>16</v>
      </c>
      <c r="F8" s="20" t="s">
        <v>145</v>
      </c>
      <c r="G8" s="19" t="s">
        <v>29</v>
      </c>
      <c r="H8" s="21">
        <v>2</v>
      </c>
      <c r="I8" s="21"/>
      <c r="J8" s="21" t="s">
        <v>165</v>
      </c>
    </row>
    <row r="9" spans="1:10">
      <c r="A9" s="14">
        <f t="shared" si="0"/>
        <v>7</v>
      </c>
      <c r="B9" s="2" t="s">
        <v>30</v>
      </c>
      <c r="C9" s="2" t="s">
        <v>31</v>
      </c>
      <c r="D9" s="2" t="s">
        <v>32</v>
      </c>
      <c r="E9" s="2" t="s">
        <v>16</v>
      </c>
      <c r="F9" s="3" t="s">
        <v>145</v>
      </c>
      <c r="G9" s="2" t="s">
        <v>33</v>
      </c>
      <c r="H9" s="1">
        <v>2</v>
      </c>
      <c r="I9" s="1"/>
      <c r="J9" s="1"/>
    </row>
    <row r="10" spans="1:10">
      <c r="A10" s="14">
        <f t="shared" si="0"/>
        <v>8</v>
      </c>
      <c r="B10" s="2" t="s">
        <v>34</v>
      </c>
      <c r="C10" s="2" t="s">
        <v>35</v>
      </c>
      <c r="D10" s="2" t="s">
        <v>36</v>
      </c>
      <c r="E10" s="2" t="s">
        <v>16</v>
      </c>
      <c r="F10" s="3" t="s">
        <v>146</v>
      </c>
      <c r="G10" s="2" t="s">
        <v>37</v>
      </c>
      <c r="H10" s="1">
        <v>1</v>
      </c>
      <c r="I10" s="1"/>
      <c r="J10" s="1"/>
    </row>
    <row r="11" spans="1:10">
      <c r="A11" s="14">
        <f t="shared" si="0"/>
        <v>9</v>
      </c>
      <c r="B11" s="2" t="s">
        <v>38</v>
      </c>
      <c r="C11" s="2" t="s">
        <v>39</v>
      </c>
      <c r="D11" s="2" t="s">
        <v>40</v>
      </c>
      <c r="E11" s="2" t="s">
        <v>16</v>
      </c>
      <c r="F11" s="3" t="s">
        <v>146</v>
      </c>
      <c r="G11" s="2" t="s">
        <v>41</v>
      </c>
      <c r="H11" s="1">
        <v>1</v>
      </c>
      <c r="I11" s="1"/>
      <c r="J11" s="1"/>
    </row>
    <row r="12" spans="1:10">
      <c r="A12" s="14">
        <f t="shared" si="0"/>
        <v>10</v>
      </c>
      <c r="B12" s="2" t="s">
        <v>42</v>
      </c>
      <c r="C12" s="2" t="s">
        <v>43</v>
      </c>
      <c r="D12" s="2" t="s">
        <v>44</v>
      </c>
      <c r="E12" s="2" t="s">
        <v>45</v>
      </c>
      <c r="F12" s="3" t="s">
        <v>147</v>
      </c>
      <c r="G12" s="2" t="s">
        <v>42</v>
      </c>
      <c r="H12" s="1">
        <v>1</v>
      </c>
      <c r="I12" s="1"/>
      <c r="J12" s="1"/>
    </row>
    <row r="13" spans="1:10" s="7" customFormat="1">
      <c r="A13" s="14">
        <f t="shared" si="0"/>
        <v>11</v>
      </c>
      <c r="B13" s="4" t="s">
        <v>47</v>
      </c>
      <c r="C13" s="4" t="s">
        <v>48</v>
      </c>
      <c r="D13" s="4" t="s">
        <v>49</v>
      </c>
      <c r="E13" s="4" t="s">
        <v>50</v>
      </c>
      <c r="F13" s="4"/>
      <c r="G13" s="6"/>
      <c r="H13" s="6">
        <v>1</v>
      </c>
      <c r="I13" s="6"/>
      <c r="J13" s="6"/>
    </row>
    <row r="14" spans="1:10" s="7" customFormat="1">
      <c r="A14" s="14">
        <f t="shared" si="0"/>
        <v>12</v>
      </c>
      <c r="B14" s="4" t="s">
        <v>51</v>
      </c>
      <c r="C14" s="4" t="s">
        <v>52</v>
      </c>
      <c r="D14" s="4" t="s">
        <v>53</v>
      </c>
      <c r="E14" s="4" t="s">
        <v>54</v>
      </c>
      <c r="F14" s="4"/>
      <c r="G14" s="6"/>
      <c r="H14" s="6">
        <v>1</v>
      </c>
      <c r="I14" s="6"/>
      <c r="J14" s="6"/>
    </row>
    <row r="15" spans="1:10" s="7" customFormat="1">
      <c r="A15" s="14">
        <f t="shared" si="0"/>
        <v>13</v>
      </c>
      <c r="B15" s="4" t="s">
        <v>151</v>
      </c>
      <c r="C15" s="4" t="s">
        <v>148</v>
      </c>
      <c r="D15" s="4" t="s">
        <v>55</v>
      </c>
      <c r="E15" s="4" t="s">
        <v>56</v>
      </c>
      <c r="F15" s="4" t="s">
        <v>149</v>
      </c>
      <c r="G15" s="4" t="s">
        <v>150</v>
      </c>
      <c r="H15" s="6">
        <v>1</v>
      </c>
      <c r="I15" s="6"/>
      <c r="J15" s="6"/>
    </row>
    <row r="16" spans="1:10">
      <c r="A16" s="14">
        <f t="shared" si="0"/>
        <v>14</v>
      </c>
      <c r="B16" s="2" t="s">
        <v>57</v>
      </c>
      <c r="C16" s="2" t="s">
        <v>58</v>
      </c>
      <c r="D16" s="2" t="s">
        <v>59</v>
      </c>
      <c r="E16" s="2" t="s">
        <v>60</v>
      </c>
      <c r="F16" s="2" t="s">
        <v>152</v>
      </c>
      <c r="G16" s="2" t="s">
        <v>61</v>
      </c>
      <c r="H16" s="1">
        <v>1</v>
      </c>
      <c r="I16" s="1"/>
      <c r="J16" s="1"/>
    </row>
    <row r="17" spans="1:10">
      <c r="A17" s="14">
        <f t="shared" si="0"/>
        <v>15</v>
      </c>
      <c r="B17" s="2" t="s">
        <v>62</v>
      </c>
      <c r="C17" s="2" t="s">
        <v>63</v>
      </c>
      <c r="D17" s="2" t="s">
        <v>64</v>
      </c>
      <c r="E17" s="2" t="s">
        <v>65</v>
      </c>
      <c r="F17" s="1" t="s">
        <v>153</v>
      </c>
      <c r="G17" s="2" t="s">
        <v>66</v>
      </c>
      <c r="H17" s="1">
        <v>3</v>
      </c>
      <c r="I17" s="1"/>
      <c r="J17" s="1"/>
    </row>
    <row r="18" spans="1:10">
      <c r="A18" s="14">
        <f t="shared" si="0"/>
        <v>16</v>
      </c>
      <c r="B18" s="2" t="s">
        <v>67</v>
      </c>
      <c r="C18" s="2" t="s">
        <v>68</v>
      </c>
      <c r="D18" s="2" t="s">
        <v>69</v>
      </c>
      <c r="E18" s="2" t="s">
        <v>70</v>
      </c>
      <c r="F18" s="2" t="s">
        <v>154</v>
      </c>
      <c r="G18" s="2" t="s">
        <v>71</v>
      </c>
      <c r="H18" s="1">
        <v>2</v>
      </c>
      <c r="I18" s="1"/>
      <c r="J18" s="1"/>
    </row>
    <row r="19" spans="1:10">
      <c r="A19" s="14">
        <f t="shared" si="0"/>
        <v>17</v>
      </c>
      <c r="B19" s="2" t="s">
        <v>72</v>
      </c>
      <c r="C19" s="2" t="s">
        <v>73</v>
      </c>
      <c r="D19" s="2" t="s">
        <v>74</v>
      </c>
      <c r="E19" s="2" t="s">
        <v>70</v>
      </c>
      <c r="F19" s="2" t="s">
        <v>154</v>
      </c>
      <c r="G19" s="2" t="s">
        <v>75</v>
      </c>
      <c r="H19" s="1">
        <v>1</v>
      </c>
      <c r="I19" s="1"/>
      <c r="J19" s="1"/>
    </row>
    <row r="20" spans="1:10">
      <c r="A20" s="14">
        <f t="shared" si="0"/>
        <v>18</v>
      </c>
      <c r="B20" s="2" t="s">
        <v>76</v>
      </c>
      <c r="C20" s="2" t="s">
        <v>77</v>
      </c>
      <c r="D20" s="2" t="s">
        <v>78</v>
      </c>
      <c r="E20" s="2" t="s">
        <v>70</v>
      </c>
      <c r="F20" s="2" t="s">
        <v>154</v>
      </c>
      <c r="G20" s="2" t="s">
        <v>79</v>
      </c>
      <c r="H20" s="1">
        <v>7</v>
      </c>
      <c r="I20" s="1"/>
      <c r="J20" s="1"/>
    </row>
    <row r="21" spans="1:10">
      <c r="A21" s="14">
        <f t="shared" si="0"/>
        <v>19</v>
      </c>
      <c r="B21" s="2" t="s">
        <v>80</v>
      </c>
      <c r="C21" s="2" t="s">
        <v>81</v>
      </c>
      <c r="D21" s="2" t="s">
        <v>82</v>
      </c>
      <c r="E21" s="2" t="s">
        <v>70</v>
      </c>
      <c r="F21" s="2" t="s">
        <v>154</v>
      </c>
      <c r="G21" s="2" t="s">
        <v>83</v>
      </c>
      <c r="H21" s="1">
        <v>3</v>
      </c>
      <c r="I21" s="1"/>
      <c r="J21" s="1"/>
    </row>
    <row r="22" spans="1:10">
      <c r="A22" s="14">
        <f t="shared" si="0"/>
        <v>20</v>
      </c>
      <c r="B22" s="2" t="s">
        <v>84</v>
      </c>
      <c r="C22" s="2" t="s">
        <v>85</v>
      </c>
      <c r="D22" s="2" t="s">
        <v>86</v>
      </c>
      <c r="E22" s="2" t="s">
        <v>70</v>
      </c>
      <c r="F22" s="2" t="s">
        <v>155</v>
      </c>
      <c r="G22" s="2" t="s">
        <v>87</v>
      </c>
      <c r="H22" s="1">
        <v>1</v>
      </c>
      <c r="I22" s="1"/>
      <c r="J22" s="1"/>
    </row>
    <row r="23" spans="1:10">
      <c r="A23" s="14">
        <f t="shared" si="0"/>
        <v>21</v>
      </c>
      <c r="B23" s="2" t="s">
        <v>88</v>
      </c>
      <c r="C23" s="2" t="s">
        <v>89</v>
      </c>
      <c r="D23" s="2" t="s">
        <v>90</v>
      </c>
      <c r="E23" s="2" t="s">
        <v>70</v>
      </c>
      <c r="F23" s="2" t="s">
        <v>156</v>
      </c>
      <c r="G23" s="2" t="s">
        <v>91</v>
      </c>
      <c r="H23" s="1">
        <v>1</v>
      </c>
      <c r="I23" s="1"/>
      <c r="J23" s="1"/>
    </row>
    <row r="24" spans="1:10">
      <c r="A24" s="14">
        <f t="shared" si="0"/>
        <v>22</v>
      </c>
      <c r="B24" s="2" t="s">
        <v>92</v>
      </c>
      <c r="C24" s="2" t="s">
        <v>93</v>
      </c>
      <c r="D24" s="2" t="s">
        <v>94</v>
      </c>
      <c r="E24" s="2" t="s">
        <v>70</v>
      </c>
      <c r="F24" s="2" t="s">
        <v>155</v>
      </c>
      <c r="G24" s="2" t="s">
        <v>95</v>
      </c>
      <c r="H24" s="1">
        <v>1</v>
      </c>
      <c r="I24" s="1"/>
      <c r="J24" s="1"/>
    </row>
    <row r="25" spans="1:10">
      <c r="A25" s="14">
        <f t="shared" si="0"/>
        <v>23</v>
      </c>
      <c r="B25" s="2" t="s">
        <v>96</v>
      </c>
      <c r="C25" s="2" t="s">
        <v>97</v>
      </c>
      <c r="D25" s="2" t="s">
        <v>98</v>
      </c>
      <c r="E25" s="2" t="s">
        <v>70</v>
      </c>
      <c r="F25" s="2" t="s">
        <v>156</v>
      </c>
      <c r="G25" s="2" t="s">
        <v>99</v>
      </c>
      <c r="H25" s="1">
        <v>1</v>
      </c>
      <c r="I25" s="1"/>
      <c r="J25" s="1"/>
    </row>
    <row r="26" spans="1:10">
      <c r="A26" s="14">
        <f t="shared" si="0"/>
        <v>24</v>
      </c>
      <c r="B26" s="2" t="s">
        <v>100</v>
      </c>
      <c r="C26" s="2" t="s">
        <v>101</v>
      </c>
      <c r="D26" s="2" t="s">
        <v>102</v>
      </c>
      <c r="E26" s="2" t="s">
        <v>70</v>
      </c>
      <c r="F26" s="2" t="s">
        <v>156</v>
      </c>
      <c r="G26" s="2" t="s">
        <v>103</v>
      </c>
      <c r="H26" s="1">
        <v>1</v>
      </c>
      <c r="I26" s="1"/>
      <c r="J26" s="1"/>
    </row>
    <row r="27" spans="1:10" s="7" customFormat="1">
      <c r="A27" s="14">
        <f t="shared" si="0"/>
        <v>25</v>
      </c>
      <c r="B27" s="4" t="s">
        <v>104</v>
      </c>
      <c r="C27" s="4" t="s">
        <v>7</v>
      </c>
      <c r="D27" s="4" t="s">
        <v>105</v>
      </c>
      <c r="E27" s="4" t="s">
        <v>106</v>
      </c>
      <c r="F27" s="6"/>
      <c r="G27" s="6"/>
      <c r="H27" s="6">
        <v>1</v>
      </c>
      <c r="I27" s="6"/>
      <c r="J27" s="6"/>
    </row>
    <row r="28" spans="1:10" s="7" customFormat="1">
      <c r="A28" s="14">
        <f t="shared" si="0"/>
        <v>26</v>
      </c>
      <c r="B28" s="4" t="s">
        <v>107</v>
      </c>
      <c r="C28" s="4" t="s">
        <v>108</v>
      </c>
      <c r="D28" s="4" t="s">
        <v>109</v>
      </c>
      <c r="E28" s="4" t="s">
        <v>110</v>
      </c>
      <c r="F28" s="6"/>
      <c r="G28" s="6"/>
      <c r="H28" s="6">
        <v>1</v>
      </c>
      <c r="I28" s="6"/>
      <c r="J28" s="6"/>
    </row>
    <row r="29" spans="1:10">
      <c r="A29" s="14">
        <f t="shared" si="0"/>
        <v>27</v>
      </c>
      <c r="B29" s="2" t="s">
        <v>111</v>
      </c>
      <c r="C29" s="2" t="s">
        <v>112</v>
      </c>
      <c r="D29" s="2" t="s">
        <v>113</v>
      </c>
      <c r="E29" s="2" t="s">
        <v>114</v>
      </c>
      <c r="F29" s="5" t="s">
        <v>158</v>
      </c>
      <c r="G29" s="2" t="s">
        <v>111</v>
      </c>
      <c r="H29" s="1">
        <v>1</v>
      </c>
      <c r="I29" s="1"/>
      <c r="J29" s="1"/>
    </row>
    <row r="30" spans="1:10">
      <c r="A30" s="14">
        <f t="shared" si="0"/>
        <v>28</v>
      </c>
      <c r="B30" s="2" t="s">
        <v>115</v>
      </c>
      <c r="C30" s="2" t="s">
        <v>116</v>
      </c>
      <c r="D30" s="2" t="s">
        <v>117</v>
      </c>
      <c r="E30" s="2" t="s">
        <v>118</v>
      </c>
      <c r="F30" s="1" t="s">
        <v>157</v>
      </c>
      <c r="G30" s="2" t="s">
        <v>115</v>
      </c>
      <c r="H30" s="1">
        <v>1</v>
      </c>
      <c r="I30" s="1"/>
      <c r="J30" s="1"/>
    </row>
    <row r="31" spans="1:10">
      <c r="A31" s="14">
        <f t="shared" si="0"/>
        <v>29</v>
      </c>
      <c r="B31" s="2" t="s">
        <v>119</v>
      </c>
      <c r="C31" s="2" t="s">
        <v>120</v>
      </c>
      <c r="D31" s="2" t="s">
        <v>121</v>
      </c>
      <c r="E31" s="2" t="s">
        <v>122</v>
      </c>
      <c r="F31" s="5" t="s">
        <v>158</v>
      </c>
      <c r="G31" s="2" t="s">
        <v>119</v>
      </c>
      <c r="H31" s="1">
        <v>1</v>
      </c>
      <c r="I31" s="1"/>
      <c r="J31" s="1"/>
    </row>
    <row r="32" spans="1:10">
      <c r="A32" s="14">
        <f t="shared" si="0"/>
        <v>30</v>
      </c>
      <c r="B32" s="2" t="s">
        <v>123</v>
      </c>
      <c r="C32" s="2" t="s">
        <v>124</v>
      </c>
      <c r="D32" s="2" t="s">
        <v>125</v>
      </c>
      <c r="E32" s="2" t="s">
        <v>126</v>
      </c>
      <c r="F32" s="3" t="s">
        <v>159</v>
      </c>
      <c r="G32" s="2" t="s">
        <v>123</v>
      </c>
      <c r="H32" s="1">
        <v>1</v>
      </c>
      <c r="I32" s="1"/>
      <c r="J32" s="1"/>
    </row>
    <row r="33" spans="1:10" s="22" customFormat="1">
      <c r="A33" s="19">
        <f t="shared" si="0"/>
        <v>31</v>
      </c>
      <c r="B33" s="19" t="s">
        <v>127</v>
      </c>
      <c r="C33" s="19" t="s">
        <v>128</v>
      </c>
      <c r="D33" s="19" t="s">
        <v>129</v>
      </c>
      <c r="E33" s="19" t="s">
        <v>130</v>
      </c>
      <c r="F33" s="21" t="s">
        <v>159</v>
      </c>
      <c r="G33" s="19" t="s">
        <v>131</v>
      </c>
      <c r="H33" s="21">
        <v>1</v>
      </c>
      <c r="I33" s="21"/>
      <c r="J33" s="21" t="s">
        <v>165</v>
      </c>
    </row>
    <row r="34" spans="1:10">
      <c r="A34" s="14">
        <f t="shared" si="0"/>
        <v>32</v>
      </c>
      <c r="B34" s="2" t="s">
        <v>132</v>
      </c>
      <c r="C34" s="2" t="s">
        <v>133</v>
      </c>
      <c r="D34" s="2" t="s">
        <v>134</v>
      </c>
      <c r="E34" s="2" t="s">
        <v>135</v>
      </c>
      <c r="F34" s="1" t="s">
        <v>159</v>
      </c>
      <c r="G34" s="2" t="s">
        <v>136</v>
      </c>
      <c r="H34" s="1">
        <v>1</v>
      </c>
      <c r="I34" s="1"/>
      <c r="J34" s="1"/>
    </row>
    <row r="35" spans="1:10">
      <c r="A35" s="14">
        <f t="shared" si="0"/>
        <v>33</v>
      </c>
      <c r="B35" s="2" t="s">
        <v>137</v>
      </c>
      <c r="C35" s="2" t="s">
        <v>138</v>
      </c>
      <c r="D35" s="2" t="s">
        <v>139</v>
      </c>
      <c r="E35" s="2" t="s">
        <v>140</v>
      </c>
      <c r="F35" s="1" t="s">
        <v>160</v>
      </c>
      <c r="G35" s="2" t="s">
        <v>141</v>
      </c>
      <c r="H35" s="1">
        <v>1</v>
      </c>
      <c r="I35" s="1"/>
      <c r="J35" s="1"/>
    </row>
    <row r="36" spans="1:10" ht="54">
      <c r="A36" s="14">
        <f t="shared" si="0"/>
        <v>34</v>
      </c>
      <c r="B36" s="10" t="s">
        <v>167</v>
      </c>
      <c r="C36" s="11"/>
      <c r="D36" s="11"/>
      <c r="E36" s="11"/>
      <c r="F36" s="12" t="s">
        <v>168</v>
      </c>
      <c r="G36" s="13" t="s">
        <v>169</v>
      </c>
      <c r="H36" s="11"/>
      <c r="I36" s="11"/>
      <c r="J36" s="11" t="s">
        <v>170</v>
      </c>
    </row>
  </sheetData>
  <mergeCells count="1">
    <mergeCell ref="A1:D1"/>
  </mergeCells>
  <hyperlinks>
    <hyperlink ref="G36" r:id="rId1" display="https://www.waveshare.com/7inch-Capacitive-Touch-LCD-F.htm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DuAn_HMI_F7_V3</vt:lpstr>
      <vt:lpstr>DuAn_HMI_F7_V3!Print_Titles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PV</dc:creator>
  <cp:lastModifiedBy>PV</cp:lastModifiedBy>
  <dcterms:created xsi:type="dcterms:W3CDTF">2026-04-18T07:39:18Z</dcterms:created>
  <dcterms:modified xsi:type="dcterms:W3CDTF">2026-04-19T03:37:57Z</dcterms:modified>
</cp:coreProperties>
</file>